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  <sheet name="Hoja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<sst xmlns="http://schemas.openxmlformats.org/spreadsheetml/2006/main" count="49" uniqueCount="29">
  <si>
    <t xml:space="preserve">VIDEO ZX SPECTRUM</t>
  </si>
  <si>
    <t xml:space="preserve">PIXEL ZONE</t>
  </si>
  <si>
    <t xml:space="preserve">DESTINY(de)</t>
  </si>
  <si>
    <t xml:space="preserve">HASTA</t>
  </si>
  <si>
    <t xml:space="preserve">LONGITUD (bc)</t>
  </si>
  <si>
    <t xml:space="preserve">ATRIBUTOS</t>
  </si>
  <si>
    <t xml:space="preserve">LONGITUD(bc)</t>
  </si>
  <si>
    <t xml:space="preserve">A</t>
  </si>
  <si>
    <t xml:space="preserve">47FF</t>
  </si>
  <si>
    <t xml:space="preserve">LINEA 0 A 7</t>
  </si>
  <si>
    <t xml:space="preserve">58FF</t>
  </si>
  <si>
    <t xml:space="preserve">B</t>
  </si>
  <si>
    <t xml:space="preserve">4FFF</t>
  </si>
  <si>
    <t xml:space="preserve">LINEAS 8 A 15</t>
  </si>
  <si>
    <t xml:space="preserve">59FF</t>
  </si>
  <si>
    <t xml:space="preserve">C</t>
  </si>
  <si>
    <t xml:space="preserve">57FF</t>
  </si>
  <si>
    <t xml:space="preserve">LINEAS 16 A 23</t>
  </si>
  <si>
    <t xml:space="preserve">5A00</t>
  </si>
  <si>
    <t xml:space="preserve">5AFF</t>
  </si>
  <si>
    <t xml:space="preserve">SUMA</t>
  </si>
  <si>
    <t xml:space="preserve">TODO</t>
  </si>
  <si>
    <t xml:space="preserve">RUTINA DE CARGA</t>
  </si>
  <si>
    <t xml:space="preserve">PIXEL ZONA</t>
  </si>
  <si>
    <t xml:space="preserve">ORIGEN (hl) bank</t>
  </si>
  <si>
    <t xml:space="preserve">C000</t>
  </si>
  <si>
    <t xml:space="preserve">8 líneas</t>
  </si>
  <si>
    <t xml:space="preserve">wiki.speccy.org/cursos/ensamblador/gfx1_vram</t>
  </si>
  <si>
    <t xml:space="preserve">SAMPLE: A ZONE IN THE MIDLE OF TV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</si>
</sst>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  <font>
      <sz val="11"/>
      <color rgb="FF000000"/>
      <name val="Calibri"/>
      <family val="0"/>
    </font>
    <font>
      <sz val="11"/>
      <name val="Times New Roman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360360</xdr:colOff>
      <xdr:row>36</xdr:row>
      <xdr:rowOff>63360</xdr:rowOff>
    </xdr:from>
    <xdr:to>
      <xdr:col>6</xdr:col>
      <xdr:colOff>665640</xdr:colOff>
      <xdr:row>46</xdr:row>
      <xdr:rowOff>174240</xdr:rowOff>
    </xdr:to>
    <xdr:sp>
      <xdr:nvSpPr>
        <xdr:cNvPr id="0" name="1 CuadroTexto"/>
        <xdr:cNvSpPr/>
      </xdr:nvSpPr>
      <xdr:spPr>
        <a:xfrm>
          <a:off x="3141000" y="6527160"/>
          <a:ext cx="3060000" cy="19206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vertOverflow="clip" lIns="90000" rIns="90000" tIns="45000" bIns="45000" anchor="t">
          <a:spAutoFit/>
        </a:bodyPr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showSplash1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hl,$c000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pixel desde origen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de,$4800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TO SCREEN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bc,2048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todos estos bites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a,Screenbank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call showSplashparam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hl,$d800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atributos desde origen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de,$5900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TO SCREEN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bc,256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; todos estos bites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ld a,Screenbank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call showSplashparam</a:t>
          </a:r>
          <a:endParaRPr b="0" lang="es-ES" sz="1100" spc="-1" strike="noStrike">
            <a:latin typeface="Times New Roman"/>
          </a:endParaRPr>
        </a:p>
        <a:p>
          <a:pPr>
            <a:lnSpc>
              <a:spcPct val="100000"/>
            </a:lnSpc>
          </a:pP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ret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r>
            <a:rPr b="0" lang="es-ES" sz="1100" spc="-1" strike="noStrike">
              <a:solidFill>
                <a:srgbClr val="000000"/>
              </a:solidFill>
              <a:latin typeface="Calibri"/>
            </a:rPr>
            <a:t>	</a:t>
          </a:r>
          <a:endParaRPr b="0" lang="es-ES" sz="1100" spc="-1" strike="noStrike">
            <a:latin typeface="Times New Roman"/>
          </a:endParaRPr>
        </a:p>
      </xdr:txBody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redirect.viglink.com/?key=71fe2139a887ad501313cd8cce3053c5&amp;subId=3425386&amp;u=https%3A//wiki.speccy.org/cursos/ensamblador/gfx1_vram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L16" activeCellId="0" sqref="L16"/>
    </sheetView>
  </sheetViews>
  <sheetFormatPr defaultColWidth="10.9140625" defaultRowHeight="14.25" zeroHeight="false" outlineLevelRow="0" outlineLevelCol="0"/>
  <cols>
    <col collapsed="false" customWidth="true" hidden="false" outlineLevel="0" max="1" min="1" style="1" width="13.82"/>
    <col collapsed="false" customWidth="true" hidden="false" outlineLevel="0" max="2" min="2" style="1" width="10.36"/>
    <col collapsed="false" customWidth="true" hidden="false" outlineLevel="0" max="3" min="3" style="1" width="15.27"/>
    <col collapsed="false" customWidth="true" hidden="false" outlineLevel="0" max="4" min="4" style="1" width="6.36"/>
    <col collapsed="false" customWidth="true" hidden="false" outlineLevel="0" max="5" min="5" style="1" width="15.45"/>
    <col collapsed="false" customWidth="true" hidden="false" outlineLevel="0" max="6" min="6" style="1" width="17.27"/>
    <col collapsed="false" customWidth="true" hidden="false" outlineLevel="0" max="7" min="7" style="1" width="15.27"/>
    <col collapsed="false" customWidth="true" hidden="false" outlineLevel="0" max="8" min="8" style="1" width="6.36"/>
    <col collapsed="false" customWidth="true" hidden="false" outlineLevel="0" max="9" min="9" style="1" width="15"/>
    <col collapsed="false" customWidth="false" hidden="false" outlineLevel="0" max="16384" min="10" style="1" width="10.91"/>
  </cols>
  <sheetData>
    <row r="2" customFormat="false" ht="14.2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3.8" hidden="false" customHeight="false" outlineLevel="0" collapsed="false">
      <c r="B3" s="3" t="s">
        <v>1</v>
      </c>
      <c r="C3" s="3" t="s">
        <v>2</v>
      </c>
      <c r="D3" s="1" t="s">
        <v>3</v>
      </c>
      <c r="E3" s="1" t="s">
        <v>4</v>
      </c>
      <c r="F3" s="3" t="s">
        <v>5</v>
      </c>
      <c r="G3" s="3" t="s">
        <v>2</v>
      </c>
      <c r="H3" s="1" t="s">
        <v>3</v>
      </c>
      <c r="I3" s="1" t="s">
        <v>6</v>
      </c>
    </row>
    <row r="4" customFormat="false" ht="14.25" hidden="false" customHeight="false" outlineLevel="0" collapsed="false">
      <c r="B4" s="1" t="s">
        <v>7</v>
      </c>
      <c r="C4" s="3" t="n">
        <v>4000</v>
      </c>
      <c r="D4" s="1" t="s">
        <v>8</v>
      </c>
      <c r="F4" s="1" t="s">
        <v>9</v>
      </c>
      <c r="G4" s="3" t="n">
        <v>5800</v>
      </c>
      <c r="H4" s="1" t="s">
        <v>10</v>
      </c>
    </row>
    <row r="5" s="4" customFormat="true" ht="13.8" hidden="false" customHeight="false" outlineLevel="0" collapsed="false">
      <c r="C5" s="4" t="n">
        <f aca="false">HEX2DEC(C4)</f>
        <v>16384</v>
      </c>
      <c r="D5" s="4" t="n">
        <f aca="false">HEX2DEC(D4)</f>
        <v>18431</v>
      </c>
      <c r="E5" s="4" t="n">
        <f aca="false">D5-C5+1</f>
        <v>2048</v>
      </c>
      <c r="G5" s="4" t="n">
        <f aca="false">HEX2DEC(G4)</f>
        <v>22528</v>
      </c>
      <c r="H5" s="4" t="n">
        <f aca="false">HEX2DEC(H4)</f>
        <v>22783</v>
      </c>
      <c r="I5" s="4" t="n">
        <f aca="false">H5-G5+1</f>
        <v>256</v>
      </c>
    </row>
    <row r="6" customFormat="false" ht="14.25" hidden="false" customHeight="false" outlineLevel="0" collapsed="false">
      <c r="B6" s="1" t="s">
        <v>11</v>
      </c>
      <c r="C6" s="5" t="n">
        <v>4800</v>
      </c>
      <c r="D6" s="1" t="s">
        <v>12</v>
      </c>
      <c r="F6" s="1" t="s">
        <v>13</v>
      </c>
      <c r="G6" s="5" t="n">
        <v>5900</v>
      </c>
      <c r="H6" s="1" t="s">
        <v>14</v>
      </c>
    </row>
    <row r="7" s="4" customFormat="true" ht="13.8" hidden="false" customHeight="false" outlineLevel="0" collapsed="false">
      <c r="C7" s="4" t="n">
        <f aca="false">HEX2DEC(C6)</f>
        <v>18432</v>
      </c>
      <c r="D7" s="4" t="n">
        <f aca="false">HEX2DEC(D6)</f>
        <v>20479</v>
      </c>
      <c r="E7" s="4" t="n">
        <f aca="false">D7-C7+1</f>
        <v>2048</v>
      </c>
      <c r="G7" s="4" t="n">
        <f aca="false">HEX2DEC(G6)</f>
        <v>22784</v>
      </c>
      <c r="H7" s="4" t="n">
        <f aca="false">HEX2DEC(H6)</f>
        <v>23039</v>
      </c>
      <c r="I7" s="4" t="n">
        <f aca="false">H7-G7+1</f>
        <v>256</v>
      </c>
    </row>
    <row r="8" customFormat="false" ht="14.25" hidden="false" customHeight="false" outlineLevel="0" collapsed="false">
      <c r="B8" s="1" t="s">
        <v>15</v>
      </c>
      <c r="C8" s="3" t="n">
        <v>5000</v>
      </c>
      <c r="D8" s="1" t="s">
        <v>16</v>
      </c>
      <c r="F8" s="1" t="s">
        <v>17</v>
      </c>
      <c r="G8" s="3" t="s">
        <v>18</v>
      </c>
      <c r="H8" s="1" t="s">
        <v>19</v>
      </c>
    </row>
    <row r="9" s="4" customFormat="true" ht="13.8" hidden="false" customHeight="false" outlineLevel="0" collapsed="false">
      <c r="C9" s="4" t="n">
        <f aca="false">HEX2DEC(C8)</f>
        <v>20480</v>
      </c>
      <c r="D9" s="4" t="n">
        <f aca="false">HEX2DEC(D8)</f>
        <v>22527</v>
      </c>
      <c r="E9" s="4" t="n">
        <f aca="false">D9-C9+1</f>
        <v>2048</v>
      </c>
      <c r="G9" s="4" t="n">
        <f aca="false">HEX2DEC(G8)</f>
        <v>23040</v>
      </c>
      <c r="H9" s="4" t="n">
        <f aca="false">HEX2DEC(H8)</f>
        <v>23295</v>
      </c>
      <c r="I9" s="4" t="n">
        <f aca="false">H9-G9+1</f>
        <v>256</v>
      </c>
    </row>
    <row r="10" customFormat="false" ht="14.25" hidden="false" customHeight="false" outlineLevel="0" collapsed="false">
      <c r="E10" s="6"/>
      <c r="I10" s="6"/>
    </row>
    <row r="11" customFormat="false" ht="14.25" hidden="false" customHeight="false" outlineLevel="0" collapsed="false">
      <c r="D11" s="1" t="s">
        <v>20</v>
      </c>
      <c r="E11" s="1" t="n">
        <f aca="false">SUM(E4:E9)</f>
        <v>6144</v>
      </c>
      <c r="H11" s="1" t="s">
        <v>20</v>
      </c>
      <c r="I11" s="1" t="n">
        <f aca="false">SUM(I5:I9)</f>
        <v>768</v>
      </c>
    </row>
    <row r="12" customFormat="false" ht="14.25" hidden="false" customHeight="false" outlineLevel="0" collapsed="false">
      <c r="E12" s="6"/>
      <c r="F12" s="6"/>
      <c r="G12" s="6"/>
      <c r="H12" s="6"/>
      <c r="I12" s="6"/>
    </row>
    <row r="13" customFormat="false" ht="14.25" hidden="false" customHeight="false" outlineLevel="0" collapsed="false">
      <c r="H13" s="1" t="s">
        <v>21</v>
      </c>
      <c r="I13" s="1" t="n">
        <f aca="false">I11+E11</f>
        <v>6912</v>
      </c>
    </row>
    <row r="15" customFormat="false" ht="14.25" hidden="false" customHeight="false" outlineLevel="0" collapsed="false">
      <c r="B15" s="2" t="s">
        <v>22</v>
      </c>
      <c r="C15" s="2"/>
      <c r="D15" s="2"/>
      <c r="E15" s="2"/>
      <c r="F15" s="2"/>
      <c r="G15" s="2"/>
      <c r="H15" s="2"/>
      <c r="I15" s="2"/>
    </row>
    <row r="16" customFormat="false" ht="14.25" hidden="false" customHeight="false" outlineLevel="0" collapsed="false">
      <c r="B16" s="1" t="s">
        <v>23</v>
      </c>
      <c r="C16" s="3" t="s">
        <v>24</v>
      </c>
      <c r="D16" s="1" t="s">
        <v>3</v>
      </c>
      <c r="E16" s="3" t="s">
        <v>4</v>
      </c>
      <c r="F16" s="1" t="s">
        <v>5</v>
      </c>
      <c r="G16" s="3" t="s">
        <v>24</v>
      </c>
      <c r="H16" s="1" t="s">
        <v>3</v>
      </c>
      <c r="I16" s="3" t="s">
        <v>6</v>
      </c>
    </row>
    <row r="17" customFormat="false" ht="14.25" hidden="false" customHeight="false" outlineLevel="0" collapsed="false">
      <c r="B17" s="1" t="s">
        <v>7</v>
      </c>
      <c r="C17" s="5" t="s">
        <v>25</v>
      </c>
      <c r="D17" s="1" t="str">
        <f aca="false">DEC2HEX(D18)</f>
        <v>C7FF</v>
      </c>
      <c r="E17" s="3"/>
      <c r="F17" s="1" t="s">
        <v>9</v>
      </c>
      <c r="G17" s="5" t="str">
        <f aca="false">DEC2HEX(G18)</f>
        <v>D800</v>
      </c>
      <c r="H17" s="1" t="str">
        <f aca="false">DEC2HEX(H18)</f>
        <v>D8FF</v>
      </c>
      <c r="I17" s="3"/>
      <c r="K17" s="1" t="s">
        <v>26</v>
      </c>
    </row>
    <row r="18" s="4" customFormat="true" ht="13.8" hidden="false" customHeight="false" outlineLevel="0" collapsed="false">
      <c r="C18" s="4" t="n">
        <f aca="false">HEX2DEC(C17)</f>
        <v>49152</v>
      </c>
      <c r="D18" s="4" t="n">
        <f aca="false">C18+E18-1</f>
        <v>51199</v>
      </c>
      <c r="E18" s="7" t="n">
        <v>2048</v>
      </c>
      <c r="G18" s="4" t="n">
        <f aca="false">C18+E24</f>
        <v>55296</v>
      </c>
      <c r="H18" s="4" t="n">
        <f aca="false">G18+I18-1</f>
        <v>55551</v>
      </c>
      <c r="I18" s="7" t="n">
        <v>256</v>
      </c>
    </row>
    <row r="19" customFormat="false" ht="13.8" hidden="false" customHeight="false" outlineLevel="0" collapsed="false">
      <c r="B19" s="1" t="s">
        <v>11</v>
      </c>
      <c r="C19" s="3" t="str">
        <f aca="false">DEC2HEX(C20)</f>
        <v>C800</v>
      </c>
      <c r="D19" s="1" t="str">
        <f aca="false">DEC2HEX(D20)</f>
        <v>CFFF</v>
      </c>
      <c r="E19" s="3"/>
      <c r="F19" s="1" t="s">
        <v>13</v>
      </c>
      <c r="G19" s="3" t="str">
        <f aca="false">DEC2HEX(G20)</f>
        <v>D900</v>
      </c>
      <c r="H19" s="1" t="str">
        <f aca="false">DEC2HEX(H20)</f>
        <v>D9FF</v>
      </c>
      <c r="I19" s="3"/>
      <c r="K19" s="1" t="s">
        <v>26</v>
      </c>
    </row>
    <row r="20" s="4" customFormat="true" ht="13.8" hidden="false" customHeight="false" outlineLevel="0" collapsed="false">
      <c r="C20" s="4" t="n">
        <f aca="false">C18+E18</f>
        <v>51200</v>
      </c>
      <c r="D20" s="4" t="n">
        <f aca="false">C20+E20-1</f>
        <v>53247</v>
      </c>
      <c r="E20" s="4" t="n">
        <v>2048</v>
      </c>
      <c r="G20" s="4" t="n">
        <f aca="false">G18+I18</f>
        <v>55552</v>
      </c>
      <c r="H20" s="4" t="n">
        <f aca="false">G20+I20-1</f>
        <v>55807</v>
      </c>
      <c r="I20" s="4" t="n">
        <v>256</v>
      </c>
    </row>
    <row r="21" customFormat="false" ht="13.8" hidden="false" customHeight="false" outlineLevel="0" collapsed="false">
      <c r="B21" s="1" t="s">
        <v>15</v>
      </c>
      <c r="C21" s="3" t="str">
        <f aca="false">DEC2HEX(C22)</f>
        <v>D000</v>
      </c>
      <c r="D21" s="1" t="str">
        <f aca="false">DEC2HEX(D22)</f>
        <v>D7FF</v>
      </c>
      <c r="E21" s="3"/>
      <c r="F21" s="1" t="s">
        <v>17</v>
      </c>
      <c r="G21" s="3" t="str">
        <f aca="false">DEC2HEX(G22)</f>
        <v>DA00</v>
      </c>
      <c r="H21" s="1" t="str">
        <f aca="false">DEC2HEX(H22)</f>
        <v>DAFF</v>
      </c>
      <c r="I21" s="3"/>
      <c r="K21" s="1" t="s">
        <v>26</v>
      </c>
    </row>
    <row r="22" s="4" customFormat="true" ht="13.8" hidden="false" customHeight="false" outlineLevel="0" collapsed="false">
      <c r="C22" s="4" t="n">
        <f aca="false">C20+E20</f>
        <v>53248</v>
      </c>
      <c r="D22" s="4" t="n">
        <f aca="false">C22+E22-1</f>
        <v>55295</v>
      </c>
      <c r="E22" s="4" t="n">
        <v>2048</v>
      </c>
      <c r="G22" s="4" t="n">
        <f aca="false">G20+I20</f>
        <v>55808</v>
      </c>
      <c r="H22" s="4" t="n">
        <f aca="false">G22+I22-1</f>
        <v>56063</v>
      </c>
      <c r="I22" s="4" t="n">
        <v>256</v>
      </c>
    </row>
    <row r="23" customFormat="false" ht="14.25" hidden="false" customHeight="false" outlineLevel="0" collapsed="false">
      <c r="E23" s="6"/>
      <c r="I23" s="6"/>
    </row>
    <row r="24" customFormat="false" ht="14.25" hidden="false" customHeight="false" outlineLevel="0" collapsed="false">
      <c r="D24" s="1" t="s">
        <v>20</v>
      </c>
      <c r="E24" s="1" t="n">
        <f aca="false">SUM(E17:E22)</f>
        <v>6144</v>
      </c>
      <c r="H24" s="1" t="s">
        <v>20</v>
      </c>
      <c r="I24" s="1" t="n">
        <f aca="false">SUM(I18:I22)</f>
        <v>768</v>
      </c>
    </row>
    <row r="25" customFormat="false" ht="14.25" hidden="false" customHeight="false" outlineLevel="0" collapsed="false">
      <c r="E25" s="6"/>
      <c r="F25" s="6"/>
      <c r="G25" s="6"/>
      <c r="H25" s="6"/>
      <c r="I25" s="6"/>
    </row>
    <row r="26" customFormat="false" ht="14.25" hidden="false" customHeight="false" outlineLevel="0" collapsed="false">
      <c r="H26" s="1" t="s">
        <v>21</v>
      </c>
      <c r="I26" s="1" t="n">
        <f aca="false">I24+E24</f>
        <v>6912</v>
      </c>
    </row>
    <row r="30" customFormat="false" ht="14.25" hidden="false" customHeight="false" outlineLevel="0" collapsed="false">
      <c r="B30" s="8" t="s">
        <v>27</v>
      </c>
    </row>
    <row r="35" customFormat="false" ht="14.25" hidden="false" customHeight="false" outlineLevel="0" collapsed="false">
      <c r="D35" s="1" t="s">
        <v>28</v>
      </c>
    </row>
  </sheetData>
  <mergeCells count="2">
    <mergeCell ref="B2:I2"/>
    <mergeCell ref="B15:I15"/>
  </mergeCells>
  <hyperlinks>
    <hyperlink ref="B30" r:id="rId1" display="wiki.speccy.org/cursos/ensamblador/gfx1_vram"/>
  </hyperlink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531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2023-02-23T16:42:32Z</dcterms:created>
  <dc:creator>Usuario</dc:creator>
  <dc:description/>
  <dc:language>es-ES</dc:language>
  <cp:lastModifiedBy/>
  <cp:lastPrinted>2023-02-23T18:09:53Z</cp:lastPrinted>
  <dcterms:modified xsi:type="dcterms:W3CDTF">2024-03-17T10:39:09Z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